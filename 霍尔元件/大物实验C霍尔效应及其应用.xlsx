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152" windowHeight="15480"/>
  </bookViews>
  <sheets>
    <sheet name="Sheet1" sheetId="1" r:id="rId1"/>
    <sheet name="Sheet4" sheetId="4" r:id="rId2"/>
    <sheet name="Sheet3" sheetId="3" r:id="rId3"/>
    <sheet name="Sheet2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<sst xmlns="http://schemas.openxmlformats.org/spreadsheetml/2006/main" count="34" uniqueCount="16">
  <si>
    <t>VH-Is（Im=0.5A）</t>
  </si>
  <si>
    <t>Is/mA</t>
  </si>
  <si>
    <t>V1/mV</t>
  </si>
  <si>
    <t>V2/mV</t>
  </si>
  <si>
    <t>V3/mV</t>
  </si>
  <si>
    <t>V4/mV</t>
  </si>
  <si>
    <t>VH/mV</t>
  </si>
  <si>
    <t>+B,    +Is</t>
  </si>
  <si>
    <t>-B,    +Is</t>
  </si>
  <si>
    <t>-B,    -Is</t>
  </si>
  <si>
    <t>+B,    -Is</t>
  </si>
  <si>
    <t>VH-Im（Is=2.00mA）</t>
  </si>
  <si>
    <t>Im/A</t>
  </si>
  <si>
    <t>B-x（Is=2.00mA，Im=0.500A）</t>
  </si>
  <si>
    <t>x/cm</t>
  </si>
  <si>
    <t>B/T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</si>
</sst>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0.000_);[Red]\(0.000\)"/>
    <numFmt numFmtId="179" formatCode="0_ "/>
    <numFmt numFmtId="180" formatCode="0.0000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8" fontId="0" fillId="0" borderId="2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9" fontId="0" fillId="0" borderId="2" xfId="0" applyNumberFormat="1" applyBorder="1" applyAlignment="1">
      <alignment horizontal="center" vertical="center"/>
    </xf>
    <xf numFmtId="180" fontId="0" fillId="0" borderId="2" xfId="0" applyNumberFormat="1" applyBorder="1" applyAlignment="1">
      <alignment horizontal="center" vertical="center"/>
    </xf>
    <xf numFmtId="0" fontId="0" fillId="0" borderId="2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VH-Is</a:t>
            </a:r>
            <a:r>
              <a:rPr lang="zh-CN" altLang="en-US"/>
              <a:t>（</a:t>
            </a:r>
            <a:r>
              <a:rPr lang="en-US" altLang="zh-CN"/>
              <a:t>Im=0.5A</a:t>
            </a:r>
            <a:r>
              <a:rPr lang="zh-CN" altLang="en-US"/>
              <a:t>）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Sheet1!$F$2</c:f>
              <c:strCache>
                <c:ptCount val="1"/>
                <c:pt idx="0">
                  <c:v>VH/mV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Sheet1!$A$3:$A$11</c:f>
              <c:numCache>
                <c:formatCode>General</c:formatCode>
                <c:ptCount val="9"/>
                <c:pt idx="1" c:formatCode="0.00_);[Red]\(0.00\)">
                  <c:v>0.5</c:v>
                </c:pt>
                <c:pt idx="2" c:formatCode="0.00_);[Red]\(0.00\)">
                  <c:v>1</c:v>
                </c:pt>
                <c:pt idx="3" c:formatCode="0.00_);[Red]\(0.00\)">
                  <c:v>1.5</c:v>
                </c:pt>
                <c:pt idx="4" c:formatCode="0.00_);[Red]\(0.00\)">
                  <c:v>2</c:v>
                </c:pt>
                <c:pt idx="5" c:formatCode="0.00_);[Red]\(0.00\)">
                  <c:v>2.5</c:v>
                </c:pt>
                <c:pt idx="6" c:formatCode="0.00_);[Red]\(0.00\)">
                  <c:v>3</c:v>
                </c:pt>
                <c:pt idx="7" c:formatCode="0.00_);[Red]\(0.00\)">
                  <c:v>3.5</c:v>
                </c:pt>
                <c:pt idx="8" c:formatCode="0.00_);[Red]\(0.00\)">
                  <c:v>4</c:v>
                </c:pt>
              </c:numCache>
            </c:numRef>
          </c:xVal>
          <c:yVal>
            <c:numRef>
              <c:f>Sheet1!$F$3:$F$11</c:f>
              <c:numCache>
                <c:formatCode>General</c:formatCode>
                <c:ptCount val="9"/>
                <c:pt idx="1" c:formatCode="0.00_ ">
                  <c:v>0.52</c:v>
                </c:pt>
                <c:pt idx="2" c:formatCode="0.00_ ">
                  <c:v>1.045</c:v>
                </c:pt>
                <c:pt idx="3" c:formatCode="0.00_ ">
                  <c:v>1.565</c:v>
                </c:pt>
                <c:pt idx="4" c:formatCode="0.00_ ">
                  <c:v>2.085</c:v>
                </c:pt>
                <c:pt idx="5" c:formatCode="0.00_ ">
                  <c:v>2.6125</c:v>
                </c:pt>
                <c:pt idx="6" c:formatCode="0.00_ ">
                  <c:v>3.13</c:v>
                </c:pt>
                <c:pt idx="7" c:formatCode="0.00_ ">
                  <c:v>3.64</c:v>
                </c:pt>
                <c:pt idx="8" c:formatCode="0.00_ ">
                  <c:v>4.1675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8132088"/>
        <c:axId val="888132408"/>
      </c:scatterChart>
      <c:valAx>
        <c:axId val="888132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Is/mA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8132408"/>
        <c:crosses val="autoZero"/>
        <c:crossBetween val="midCat"/>
      </c:valAx>
      <c:valAx>
        <c:axId val="888132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VH/mV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8132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3e665cf-ea1a-4226-88e8-db49c3ce6d6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VH-Im</a:t>
            </a:r>
            <a:r>
              <a:rPr lang="zh-CN" altLang="en-US"/>
              <a:t>（</a:t>
            </a:r>
            <a:r>
              <a:rPr lang="en-US" altLang="zh-CN"/>
              <a:t>Is=2.00mA</a:t>
            </a:r>
            <a:r>
              <a:rPr lang="zh-CN" altLang="en-US"/>
              <a:t>）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Sheet1!$F$14</c:f>
              <c:strCache>
                <c:ptCount val="1"/>
                <c:pt idx="0">
                  <c:v>VH/mV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Sheet1!$A$15:$A$23</c:f>
              <c:numCache>
                <c:formatCode>General</c:formatCode>
                <c:ptCount val="9"/>
                <c:pt idx="1" c:formatCode="0.000_);[Red]\(0.000\)">
                  <c:v>0.1</c:v>
                </c:pt>
                <c:pt idx="2" c:formatCode="0.000_);[Red]\(0.000\)">
                  <c:v>0.2</c:v>
                </c:pt>
                <c:pt idx="3" c:formatCode="0.000_);[Red]\(0.000\)">
                  <c:v>0.3</c:v>
                </c:pt>
                <c:pt idx="4" c:formatCode="0.000_);[Red]\(0.000\)">
                  <c:v>0.4</c:v>
                </c:pt>
                <c:pt idx="5" c:formatCode="0.000_);[Red]\(0.000\)">
                  <c:v>0.5</c:v>
                </c:pt>
                <c:pt idx="6" c:formatCode="0.000_);[Red]\(0.000\)">
                  <c:v>0.6</c:v>
                </c:pt>
                <c:pt idx="7" c:formatCode="0.000_);[Red]\(0.000\)">
                  <c:v>0.7</c:v>
                </c:pt>
                <c:pt idx="8" c:formatCode="0.000_);[Red]\(0.000\)">
                  <c:v>0.8</c:v>
                </c:pt>
              </c:numCache>
            </c:numRef>
          </c:xVal>
          <c:yVal>
            <c:numRef>
              <c:f>Sheet1!$F$15:$F$23</c:f>
              <c:numCache>
                <c:formatCode>General</c:formatCode>
                <c:ptCount val="9"/>
                <c:pt idx="1" c:formatCode="0.00_ ">
                  <c:v>0.415</c:v>
                </c:pt>
                <c:pt idx="2" c:formatCode="0.00_ ">
                  <c:v>0.835</c:v>
                </c:pt>
                <c:pt idx="3" c:formatCode="0.00_ ">
                  <c:v>1.2475</c:v>
                </c:pt>
                <c:pt idx="4" c:formatCode="0.00_ ">
                  <c:v>1.665</c:v>
                </c:pt>
                <c:pt idx="5" c:formatCode="0.00_ ">
                  <c:v>2.0825</c:v>
                </c:pt>
                <c:pt idx="6" c:formatCode="0.00_ ">
                  <c:v>2.4975</c:v>
                </c:pt>
                <c:pt idx="7" c:formatCode="0.00_ ">
                  <c:v>2.915</c:v>
                </c:pt>
                <c:pt idx="8" c:formatCode="0.00_ ">
                  <c:v>3.335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5876472"/>
        <c:axId val="925877432"/>
      </c:scatterChart>
      <c:valAx>
        <c:axId val="925876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Im/A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5877432"/>
        <c:crosses val="autoZero"/>
        <c:crossBetween val="midCat"/>
      </c:valAx>
      <c:valAx>
        <c:axId val="925877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VH/mV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5876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90684e7-8dcc-4f53-8264-ac58458deeb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B-x</a:t>
            </a:r>
            <a:r>
              <a:rPr lang="zh-CN" altLang="en-US"/>
              <a:t>（</a:t>
            </a:r>
            <a:r>
              <a:rPr lang="en-US" altLang="zh-CN"/>
              <a:t>Is=2.00mA</a:t>
            </a:r>
            <a:r>
              <a:rPr lang="zh-CN" altLang="en-US"/>
              <a:t>，</a:t>
            </a:r>
            <a:r>
              <a:rPr lang="en-US" altLang="zh-CN"/>
              <a:t>Im=0.500A</a:t>
            </a:r>
            <a:r>
              <a:rPr lang="zh-CN" altLang="en-US"/>
              <a:t>）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Sheet1!$G$26</c:f>
              <c:strCache>
                <c:ptCount val="1"/>
                <c:pt idx="0">
                  <c:v>B/T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Sheet1!$A$27:$A$44</c:f>
              <c:numCache>
                <c:formatCode>General</c:formatCode>
                <c:ptCount val="18"/>
                <c:pt idx="1" c:formatCode="0.00_ ">
                  <c:v>-14</c:v>
                </c:pt>
                <c:pt idx="2" c:formatCode="0.00_ ">
                  <c:v>-13.5</c:v>
                </c:pt>
                <c:pt idx="3" c:formatCode="0.00_ ">
                  <c:v>-13</c:v>
                </c:pt>
                <c:pt idx="4" c:formatCode="0.00_ ">
                  <c:v>-12.5</c:v>
                </c:pt>
                <c:pt idx="5" c:formatCode="0.00_ ">
                  <c:v>-12</c:v>
                </c:pt>
                <c:pt idx="6" c:formatCode="0.00_ ">
                  <c:v>-9</c:v>
                </c:pt>
                <c:pt idx="7" c:formatCode="0.00_ ">
                  <c:v>-6</c:v>
                </c:pt>
                <c:pt idx="8" c:formatCode="0.00_ ">
                  <c:v>-3</c:v>
                </c:pt>
                <c:pt idx="9" c:formatCode="0_ ">
                  <c:v>0</c:v>
                </c:pt>
                <c:pt idx="10" c:formatCode="0.00_ ">
                  <c:v>3</c:v>
                </c:pt>
                <c:pt idx="11" c:formatCode="0.00_ ">
                  <c:v>6</c:v>
                </c:pt>
                <c:pt idx="12" c:formatCode="0.00_ ">
                  <c:v>9</c:v>
                </c:pt>
                <c:pt idx="13" c:formatCode="0.00_ ">
                  <c:v>12</c:v>
                </c:pt>
                <c:pt idx="14" c:formatCode="0.00_ ">
                  <c:v>12.5</c:v>
                </c:pt>
                <c:pt idx="15" c:formatCode="0.00_ ">
                  <c:v>13</c:v>
                </c:pt>
                <c:pt idx="16" c:formatCode="0.00_ ">
                  <c:v>13.5</c:v>
                </c:pt>
                <c:pt idx="17" c:formatCode="0.00_ ">
                  <c:v>14</c:v>
                </c:pt>
              </c:numCache>
            </c:numRef>
          </c:xVal>
          <c:yVal>
            <c:numRef>
              <c:f>Sheet1!$G$27:$G$44</c:f>
              <c:numCache>
                <c:formatCode>General</c:formatCode>
                <c:ptCount val="18"/>
                <c:pt idx="1" c:formatCode="0.0000_ ">
                  <c:v>3.11764705882353</c:v>
                </c:pt>
                <c:pt idx="2" c:formatCode="0.0000_ ">
                  <c:v>4.22058823529412</c:v>
                </c:pt>
                <c:pt idx="3" c:formatCode="0.0000_ ">
                  <c:v>4.95588235294118</c:v>
                </c:pt>
                <c:pt idx="4" c:formatCode="0.0000_ ">
                  <c:v>5.52205882352941</c:v>
                </c:pt>
                <c:pt idx="5" c:formatCode="0.0000_ ">
                  <c:v>5.75735294117647</c:v>
                </c:pt>
                <c:pt idx="6" c:formatCode="0.0000_ ">
                  <c:v>6.03676470588235</c:v>
                </c:pt>
                <c:pt idx="7" c:formatCode="0.0000_ ">
                  <c:v>6.09558823529412</c:v>
                </c:pt>
                <c:pt idx="8" c:formatCode="0.0000_ ">
                  <c:v>6.11764705882353</c:v>
                </c:pt>
                <c:pt idx="9" c:formatCode="0.0000_ ">
                  <c:v>6.11764705882353</c:v>
                </c:pt>
                <c:pt idx="10" c:formatCode="0.0000_ ">
                  <c:v>6.11764705882353</c:v>
                </c:pt>
                <c:pt idx="11" c:formatCode="0.0000_ ">
                  <c:v>6.11764705882353</c:v>
                </c:pt>
                <c:pt idx="12" c:formatCode="0.0000_ ">
                  <c:v>6.04411764705882</c:v>
                </c:pt>
                <c:pt idx="13" c:formatCode="0.0000_ ">
                  <c:v>5.66176470588235</c:v>
                </c:pt>
                <c:pt idx="14" c:formatCode="0.0000_ ">
                  <c:v>5.36764705882353</c:v>
                </c:pt>
                <c:pt idx="15" c:formatCode="0.0000_ ">
                  <c:v>4.92647058823529</c:v>
                </c:pt>
                <c:pt idx="16" c:formatCode="0.0000_ ">
                  <c:v>4.09558823529412</c:v>
                </c:pt>
                <c:pt idx="17" c:formatCode="0.0000_ ">
                  <c:v>2.92647058823529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5866232"/>
        <c:axId val="925866552"/>
      </c:scatterChart>
      <c:valAx>
        <c:axId val="925866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x/cm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5866552"/>
        <c:crosses val="autoZero"/>
        <c:crossBetween val="midCat"/>
      </c:valAx>
      <c:valAx>
        <c:axId val="925866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B/T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5866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8ac031b-c527-4583-8589-b3551f34c09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B-x</a:t>
            </a:r>
            <a:r>
              <a:rPr lang="zh-CN" altLang="en-US"/>
              <a:t>（</a:t>
            </a:r>
            <a:r>
              <a:rPr lang="en-US" altLang="zh-CN"/>
              <a:t>Is=2.00mA</a:t>
            </a:r>
            <a:r>
              <a:rPr lang="zh-CN" altLang="en-US"/>
              <a:t>，</a:t>
            </a:r>
            <a:r>
              <a:rPr lang="en-US" altLang="zh-CN"/>
              <a:t>Im=0.500A</a:t>
            </a:r>
            <a:r>
              <a:rPr lang="zh-CN" altLang="en-US"/>
              <a:t>）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Sheet1!$G$26</c:f>
              <c:strCache>
                <c:ptCount val="1"/>
                <c:pt idx="0">
                  <c:v>B/T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Sheet1!$A$27:$A$44</c:f>
              <c:numCache>
                <c:formatCode>General</c:formatCode>
                <c:ptCount val="18"/>
                <c:pt idx="1" c:formatCode="0.00_ ">
                  <c:v>-14</c:v>
                </c:pt>
                <c:pt idx="2" c:formatCode="0.00_ ">
                  <c:v>-13.5</c:v>
                </c:pt>
                <c:pt idx="3" c:formatCode="0.00_ ">
                  <c:v>-13</c:v>
                </c:pt>
                <c:pt idx="4" c:formatCode="0.00_ ">
                  <c:v>-12.5</c:v>
                </c:pt>
                <c:pt idx="5" c:formatCode="0.00_ ">
                  <c:v>-12</c:v>
                </c:pt>
                <c:pt idx="6" c:formatCode="0.00_ ">
                  <c:v>-9</c:v>
                </c:pt>
                <c:pt idx="7" c:formatCode="0.00_ ">
                  <c:v>-6</c:v>
                </c:pt>
                <c:pt idx="8" c:formatCode="0.00_ ">
                  <c:v>-3</c:v>
                </c:pt>
                <c:pt idx="9" c:formatCode="0_ ">
                  <c:v>0</c:v>
                </c:pt>
                <c:pt idx="10" c:formatCode="0.00_ ">
                  <c:v>3</c:v>
                </c:pt>
                <c:pt idx="11" c:formatCode="0.00_ ">
                  <c:v>6</c:v>
                </c:pt>
                <c:pt idx="12" c:formatCode="0.00_ ">
                  <c:v>9</c:v>
                </c:pt>
                <c:pt idx="13" c:formatCode="0.00_ ">
                  <c:v>12</c:v>
                </c:pt>
                <c:pt idx="14" c:formatCode="0.00_ ">
                  <c:v>12.5</c:v>
                </c:pt>
                <c:pt idx="15" c:formatCode="0.00_ ">
                  <c:v>13</c:v>
                </c:pt>
                <c:pt idx="16" c:formatCode="0.00_ ">
                  <c:v>13.5</c:v>
                </c:pt>
                <c:pt idx="17" c:formatCode="0.00_ ">
                  <c:v>14</c:v>
                </c:pt>
              </c:numCache>
            </c:numRef>
          </c:xVal>
          <c:yVal>
            <c:numRef>
              <c:f>Sheet1!$G$27:$G$44</c:f>
              <c:numCache>
                <c:formatCode>General</c:formatCode>
                <c:ptCount val="18"/>
                <c:pt idx="1" c:formatCode="0.0000_ ">
                  <c:v>3.11764705882353</c:v>
                </c:pt>
                <c:pt idx="2" c:formatCode="0.0000_ ">
                  <c:v>4.22058823529412</c:v>
                </c:pt>
                <c:pt idx="3" c:formatCode="0.0000_ ">
                  <c:v>4.95588235294118</c:v>
                </c:pt>
                <c:pt idx="4" c:formatCode="0.0000_ ">
                  <c:v>5.52205882352941</c:v>
                </c:pt>
                <c:pt idx="5" c:formatCode="0.0000_ ">
                  <c:v>5.75735294117647</c:v>
                </c:pt>
                <c:pt idx="6" c:formatCode="0.0000_ ">
                  <c:v>6.03676470588235</c:v>
                </c:pt>
                <c:pt idx="7" c:formatCode="0.0000_ ">
                  <c:v>6.09558823529412</c:v>
                </c:pt>
                <c:pt idx="8" c:formatCode="0.0000_ ">
                  <c:v>6.11764705882353</c:v>
                </c:pt>
                <c:pt idx="9" c:formatCode="0.0000_ ">
                  <c:v>6.11764705882353</c:v>
                </c:pt>
                <c:pt idx="10" c:formatCode="0.0000_ ">
                  <c:v>6.11764705882353</c:v>
                </c:pt>
                <c:pt idx="11" c:formatCode="0.0000_ ">
                  <c:v>6.11764705882353</c:v>
                </c:pt>
                <c:pt idx="12" c:formatCode="0.0000_ ">
                  <c:v>6.04411764705882</c:v>
                </c:pt>
                <c:pt idx="13" c:formatCode="0.0000_ ">
                  <c:v>5.66176470588235</c:v>
                </c:pt>
                <c:pt idx="14" c:formatCode="0.0000_ ">
                  <c:v>5.36764705882353</c:v>
                </c:pt>
                <c:pt idx="15" c:formatCode="0.0000_ ">
                  <c:v>4.92647058823529</c:v>
                </c:pt>
                <c:pt idx="16" c:formatCode="0.0000_ ">
                  <c:v>4.09558823529412</c:v>
                </c:pt>
                <c:pt idx="17" c:formatCode="0.0000_ ">
                  <c:v>2.92647058823529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5866232"/>
        <c:axId val="925866552"/>
      </c:scatterChart>
      <c:valAx>
        <c:axId val="925866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x/cm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5866552"/>
        <c:crosses val="autoZero"/>
        <c:crossBetween val="midCat"/>
      </c:valAx>
      <c:valAx>
        <c:axId val="925866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B/T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5866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8e53f40-e49d-4550-85bc-db8506a375c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VH-Im</a:t>
            </a:r>
            <a:r>
              <a:rPr lang="zh-CN" altLang="en-US"/>
              <a:t>（</a:t>
            </a:r>
            <a:r>
              <a:rPr lang="en-US" altLang="zh-CN"/>
              <a:t>Is=2.00mA</a:t>
            </a:r>
            <a:r>
              <a:rPr lang="zh-CN" altLang="en-US"/>
              <a:t>）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Sheet1!$F$14</c:f>
              <c:strCache>
                <c:ptCount val="1"/>
                <c:pt idx="0">
                  <c:v>VH/mV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Sheet1!$A$15:$A$23</c:f>
              <c:numCache>
                <c:formatCode>General</c:formatCode>
                <c:ptCount val="9"/>
                <c:pt idx="1" c:formatCode="0.000_);[Red]\(0.000\)">
                  <c:v>0.1</c:v>
                </c:pt>
                <c:pt idx="2" c:formatCode="0.000_);[Red]\(0.000\)">
                  <c:v>0.2</c:v>
                </c:pt>
                <c:pt idx="3" c:formatCode="0.000_);[Red]\(0.000\)">
                  <c:v>0.3</c:v>
                </c:pt>
                <c:pt idx="4" c:formatCode="0.000_);[Red]\(0.000\)">
                  <c:v>0.4</c:v>
                </c:pt>
                <c:pt idx="5" c:formatCode="0.000_);[Red]\(0.000\)">
                  <c:v>0.5</c:v>
                </c:pt>
                <c:pt idx="6" c:formatCode="0.000_);[Red]\(0.000\)">
                  <c:v>0.6</c:v>
                </c:pt>
                <c:pt idx="7" c:formatCode="0.000_);[Red]\(0.000\)">
                  <c:v>0.7</c:v>
                </c:pt>
                <c:pt idx="8" c:formatCode="0.000_);[Red]\(0.000\)">
                  <c:v>0.8</c:v>
                </c:pt>
              </c:numCache>
            </c:numRef>
          </c:xVal>
          <c:yVal>
            <c:numRef>
              <c:f>Sheet1!$F$15:$F$23</c:f>
              <c:numCache>
                <c:formatCode>General</c:formatCode>
                <c:ptCount val="9"/>
                <c:pt idx="1" c:formatCode="0.00_ ">
                  <c:v>0.415</c:v>
                </c:pt>
                <c:pt idx="2" c:formatCode="0.00_ ">
                  <c:v>0.835</c:v>
                </c:pt>
                <c:pt idx="3" c:formatCode="0.00_ ">
                  <c:v>1.2475</c:v>
                </c:pt>
                <c:pt idx="4" c:formatCode="0.00_ ">
                  <c:v>1.665</c:v>
                </c:pt>
                <c:pt idx="5" c:formatCode="0.00_ ">
                  <c:v>2.0825</c:v>
                </c:pt>
                <c:pt idx="6" c:formatCode="0.00_ ">
                  <c:v>2.4975</c:v>
                </c:pt>
                <c:pt idx="7" c:formatCode="0.00_ ">
                  <c:v>2.915</c:v>
                </c:pt>
                <c:pt idx="8" c:formatCode="0.00_ ">
                  <c:v>3.335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5876472"/>
        <c:axId val="925877432"/>
      </c:scatterChart>
      <c:valAx>
        <c:axId val="925876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Im/A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5877432"/>
        <c:crosses val="autoZero"/>
        <c:crossBetween val="midCat"/>
      </c:valAx>
      <c:valAx>
        <c:axId val="925877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VH/mV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5876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dc6035f-81f3-42c3-947b-229e0a4a631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VH-Is</a:t>
            </a:r>
            <a:r>
              <a:rPr lang="zh-CN" altLang="en-US"/>
              <a:t>（</a:t>
            </a:r>
            <a:r>
              <a:rPr lang="en-US" altLang="zh-CN"/>
              <a:t>Im=0.5A</a:t>
            </a:r>
            <a:r>
              <a:rPr lang="zh-CN" altLang="en-US"/>
              <a:t>）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Sheet1!$F$2</c:f>
              <c:strCache>
                <c:ptCount val="1"/>
                <c:pt idx="0">
                  <c:v>VH/mV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Sheet1!$A$3:$A$11</c:f>
              <c:numCache>
                <c:formatCode>General</c:formatCode>
                <c:ptCount val="9"/>
                <c:pt idx="1" c:formatCode="0.00_);[Red]\(0.00\)">
                  <c:v>0.5</c:v>
                </c:pt>
                <c:pt idx="2" c:formatCode="0.00_);[Red]\(0.00\)">
                  <c:v>1</c:v>
                </c:pt>
                <c:pt idx="3" c:formatCode="0.00_);[Red]\(0.00\)">
                  <c:v>1.5</c:v>
                </c:pt>
                <c:pt idx="4" c:formatCode="0.00_);[Red]\(0.00\)">
                  <c:v>2</c:v>
                </c:pt>
                <c:pt idx="5" c:formatCode="0.00_);[Red]\(0.00\)">
                  <c:v>2.5</c:v>
                </c:pt>
                <c:pt idx="6" c:formatCode="0.00_);[Red]\(0.00\)">
                  <c:v>3</c:v>
                </c:pt>
                <c:pt idx="7" c:formatCode="0.00_);[Red]\(0.00\)">
                  <c:v>3.5</c:v>
                </c:pt>
                <c:pt idx="8" c:formatCode="0.00_);[Red]\(0.00\)">
                  <c:v>4</c:v>
                </c:pt>
              </c:numCache>
            </c:numRef>
          </c:xVal>
          <c:yVal>
            <c:numRef>
              <c:f>Sheet1!$F$3:$F$11</c:f>
              <c:numCache>
                <c:formatCode>General</c:formatCode>
                <c:ptCount val="9"/>
                <c:pt idx="1" c:formatCode="0.00_ ">
                  <c:v>0.52</c:v>
                </c:pt>
                <c:pt idx="2" c:formatCode="0.00_ ">
                  <c:v>1.045</c:v>
                </c:pt>
                <c:pt idx="3" c:formatCode="0.00_ ">
                  <c:v>1.565</c:v>
                </c:pt>
                <c:pt idx="4" c:formatCode="0.00_ ">
                  <c:v>2.085</c:v>
                </c:pt>
                <c:pt idx="5" c:formatCode="0.00_ ">
                  <c:v>2.6125</c:v>
                </c:pt>
                <c:pt idx="6" c:formatCode="0.00_ ">
                  <c:v>3.13</c:v>
                </c:pt>
                <c:pt idx="7" c:formatCode="0.00_ ">
                  <c:v>3.64</c:v>
                </c:pt>
                <c:pt idx="8" c:formatCode="0.00_ ">
                  <c:v>4.1675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8132088"/>
        <c:axId val="888132408"/>
      </c:scatterChart>
      <c:valAx>
        <c:axId val="888132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Is/mA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8132408"/>
        <c:crosses val="autoZero"/>
        <c:crossBetween val="midCat"/>
      </c:valAx>
      <c:valAx>
        <c:axId val="888132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VH/mV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8132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5f3f1e0-8338-4d95-8ecb-e9716283b66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495300</xdr:colOff>
      <xdr:row>13</xdr:row>
      <xdr:rowOff>99060</xdr:rowOff>
    </xdr:from>
    <xdr:ext cx="65" cy="172227"/>
    <xdr:sp>
      <xdr:nvSpPr>
        <xdr:cNvPr id="2" name="文本框 1"/>
        <xdr:cNvSpPr txBox="1"/>
      </xdr:nvSpPr>
      <xdr:spPr>
        <a:xfrm>
          <a:off x="8755380" y="2484120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9</xdr:col>
      <xdr:colOff>495300</xdr:colOff>
      <xdr:row>13</xdr:row>
      <xdr:rowOff>99060</xdr:rowOff>
    </xdr:from>
    <xdr:ext cx="65" cy="172227"/>
    <xdr:sp>
      <xdr:nvSpPr>
        <xdr:cNvPr id="3" name="文本框 2"/>
        <xdr:cNvSpPr txBox="1"/>
      </xdr:nvSpPr>
      <xdr:spPr>
        <a:xfrm>
          <a:off x="8755380" y="2484120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9</xdr:col>
      <xdr:colOff>495300</xdr:colOff>
      <xdr:row>12</xdr:row>
      <xdr:rowOff>0</xdr:rowOff>
    </xdr:from>
    <xdr:ext cx="685800" cy="510540"/>
    <xdr:sp>
      <xdr:nvSpPr>
        <xdr:cNvPr id="5" name="文本框 4"/>
        <xdr:cNvSpPr txBox="1"/>
      </xdr:nvSpPr>
      <xdr:spPr>
        <a:xfrm>
          <a:off x="8755380" y="2156460"/>
          <a:ext cx="685800" cy="5105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397277</xdr:colOff>
      <xdr:row>7</xdr:row>
      <xdr:rowOff>129540</xdr:rowOff>
    </xdr:from>
    <xdr:ext cx="65" cy="172227"/>
    <xdr:sp>
      <xdr:nvSpPr>
        <xdr:cNvPr id="6" name="文本框 5"/>
        <xdr:cNvSpPr txBox="1"/>
      </xdr:nvSpPr>
      <xdr:spPr>
        <a:xfrm rot="21231141">
          <a:off x="7833995" y="1409700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twoCellAnchor>
    <xdr:from>
      <xdr:col>8</xdr:col>
      <xdr:colOff>274320</xdr:colOff>
      <xdr:row>0</xdr:row>
      <xdr:rowOff>114300</xdr:rowOff>
    </xdr:from>
    <xdr:to>
      <xdr:col>15</xdr:col>
      <xdr:colOff>350520</xdr:colOff>
      <xdr:row>16</xdr:row>
      <xdr:rowOff>30480</xdr:rowOff>
    </xdr:to>
    <xdr:graphicFrame>
      <xdr:nvGraphicFramePr>
        <xdr:cNvPr id="8" name="图表 7"/>
        <xdr:cNvGraphicFramePr/>
      </xdr:nvGraphicFramePr>
      <xdr:xfrm>
        <a:off x="7711440" y="114300"/>
        <a:ext cx="5836920" cy="28270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487680</xdr:colOff>
      <xdr:row>17</xdr:row>
      <xdr:rowOff>30480</xdr:rowOff>
    </xdr:from>
    <xdr:to>
      <xdr:col>14</xdr:col>
      <xdr:colOff>579120</xdr:colOff>
      <xdr:row>33</xdr:row>
      <xdr:rowOff>30480</xdr:rowOff>
    </xdr:to>
    <xdr:graphicFrame>
      <xdr:nvGraphicFramePr>
        <xdr:cNvPr id="9" name="图表 8"/>
        <xdr:cNvGraphicFramePr/>
      </xdr:nvGraphicFramePr>
      <xdr:xfrm>
        <a:off x="7101840" y="3116580"/>
        <a:ext cx="5852160" cy="2857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76200</xdr:colOff>
      <xdr:row>33</xdr:row>
      <xdr:rowOff>45720</xdr:rowOff>
    </xdr:from>
    <xdr:to>
      <xdr:col>18</xdr:col>
      <xdr:colOff>167640</xdr:colOff>
      <xdr:row>47</xdr:row>
      <xdr:rowOff>144780</xdr:rowOff>
    </xdr:to>
    <xdr:graphicFrame>
      <xdr:nvGraphicFramePr>
        <xdr:cNvPr id="10" name="图表 9"/>
        <xdr:cNvGraphicFramePr/>
      </xdr:nvGraphicFramePr>
      <xdr:xfrm>
        <a:off x="9982200" y="5989320"/>
        <a:ext cx="5852160" cy="2552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91440</xdr:colOff>
      <xdr:row>14</xdr:row>
      <xdr:rowOff>99060</xdr:rowOff>
    </xdr:to>
    <xdr:graphicFrame>
      <xdr:nvGraphicFramePr>
        <xdr:cNvPr id="2" name="图表 1"/>
        <xdr:cNvGraphicFramePr/>
      </xdr:nvGraphicFramePr>
      <xdr:xfrm>
        <a:off x="0" y="0"/>
        <a:ext cx="5852160" cy="2552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91440</xdr:colOff>
      <xdr:row>16</xdr:row>
      <xdr:rowOff>53340</xdr:rowOff>
    </xdr:to>
    <xdr:graphicFrame>
      <xdr:nvGraphicFramePr>
        <xdr:cNvPr id="2" name="图表 1"/>
        <xdr:cNvGraphicFramePr/>
      </xdr:nvGraphicFramePr>
      <xdr:xfrm>
        <a:off x="0" y="0"/>
        <a:ext cx="5852160" cy="2857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60960</xdr:colOff>
      <xdr:row>27</xdr:row>
      <xdr:rowOff>68954</xdr:rowOff>
    </xdr:to>
    <xdr:graphicFrame>
      <xdr:nvGraphicFramePr>
        <xdr:cNvPr id="2" name="图表 1"/>
        <xdr:cNvGraphicFramePr/>
      </xdr:nvGraphicFramePr>
      <xdr:xfrm>
        <a:off x="0" y="0"/>
        <a:ext cx="9936480" cy="4800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46"/>
  <sheetViews>
    <sheetView tabSelected="1" workbookViewId="0">
      <selection activeCell="R22" sqref="R22"/>
    </sheetView>
  </sheetViews>
  <sheetFormatPr defaultColWidth="9" defaultRowHeight="13.8" outlineLevelCol="6"/>
  <cols>
    <col min="6" max="6" width="18.3333333333333" customWidth="1"/>
  </cols>
  <sheetData>
    <row r="1" ht="18" customHeight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2"/>
      <c r="B3" s="10" t="s">
        <v>7</v>
      </c>
      <c r="C3" s="10" t="s">
        <v>8</v>
      </c>
      <c r="D3" s="10" t="s">
        <v>9</v>
      </c>
      <c r="E3" s="10" t="s">
        <v>10</v>
      </c>
      <c r="F3" s="2"/>
    </row>
    <row r="4" spans="1:6">
      <c r="A4" s="3">
        <v>0.5</v>
      </c>
      <c r="B4" s="4">
        <v>0.56</v>
      </c>
      <c r="C4" s="4">
        <v>-0.48</v>
      </c>
      <c r="D4" s="4">
        <v>0.49</v>
      </c>
      <c r="E4" s="4">
        <v>-0.55</v>
      </c>
      <c r="F4" s="4">
        <f>(B4-C4+D4-E4)/4</f>
        <v>0.52</v>
      </c>
    </row>
    <row r="5" spans="1:6">
      <c r="A5" s="3">
        <v>1</v>
      </c>
      <c r="B5" s="4">
        <v>1.13</v>
      </c>
      <c r="C5" s="4">
        <v>-0.96</v>
      </c>
      <c r="D5" s="4">
        <v>0.98</v>
      </c>
      <c r="E5" s="4">
        <v>-1.11</v>
      </c>
      <c r="F5" s="4">
        <f t="shared" ref="F5:F11" si="0">(B5-C5+D5-E5)/4</f>
        <v>1.045</v>
      </c>
    </row>
    <row r="6" spans="1:6">
      <c r="A6" s="3">
        <v>1.5</v>
      </c>
      <c r="B6" s="4">
        <v>1.68</v>
      </c>
      <c r="C6" s="4">
        <v>-1.45</v>
      </c>
      <c r="D6" s="4">
        <v>1.46</v>
      </c>
      <c r="E6" s="4">
        <v>-1.67</v>
      </c>
      <c r="F6" s="4">
        <f t="shared" si="0"/>
        <v>1.565</v>
      </c>
    </row>
    <row r="7" spans="1:6">
      <c r="A7" s="3">
        <v>2</v>
      </c>
      <c r="B7" s="4">
        <v>2.24</v>
      </c>
      <c r="C7" s="4">
        <v>-1.93</v>
      </c>
      <c r="D7" s="4">
        <v>1.95</v>
      </c>
      <c r="E7" s="4">
        <v>-2.22</v>
      </c>
      <c r="F7" s="4">
        <f t="shared" si="0"/>
        <v>2.085</v>
      </c>
    </row>
    <row r="8" spans="1:6">
      <c r="A8" s="3">
        <v>2.5</v>
      </c>
      <c r="B8" s="4">
        <v>2.81</v>
      </c>
      <c r="C8" s="4">
        <v>-2.42</v>
      </c>
      <c r="D8" s="4">
        <v>2.44</v>
      </c>
      <c r="E8" s="4">
        <v>-2.78</v>
      </c>
      <c r="F8" s="4">
        <f t="shared" si="0"/>
        <v>2.6125</v>
      </c>
    </row>
    <row r="9" spans="1:6">
      <c r="A9" s="3">
        <v>3</v>
      </c>
      <c r="B9" s="4">
        <v>3.36</v>
      </c>
      <c r="C9" s="4">
        <v>-2.9</v>
      </c>
      <c r="D9" s="4">
        <v>2.92</v>
      </c>
      <c r="E9" s="4">
        <v>-3.34</v>
      </c>
      <c r="F9" s="4">
        <f t="shared" si="0"/>
        <v>3.13</v>
      </c>
    </row>
    <row r="10" spans="1:6">
      <c r="A10" s="3">
        <v>3.5</v>
      </c>
      <c r="B10" s="4">
        <v>3.91</v>
      </c>
      <c r="C10" s="4">
        <v>-3.38</v>
      </c>
      <c r="D10" s="4">
        <v>3.39</v>
      </c>
      <c r="E10" s="4">
        <v>-3.88</v>
      </c>
      <c r="F10" s="4">
        <f t="shared" si="0"/>
        <v>3.64</v>
      </c>
    </row>
    <row r="11" spans="1:6">
      <c r="A11" s="3">
        <v>4</v>
      </c>
      <c r="B11" s="4">
        <v>4.47</v>
      </c>
      <c r="C11" s="4">
        <v>-3.87</v>
      </c>
      <c r="D11" s="4">
        <v>3.88</v>
      </c>
      <c r="E11" s="4">
        <v>-4.45</v>
      </c>
      <c r="F11" s="4">
        <f t="shared" si="0"/>
        <v>4.1675</v>
      </c>
    </row>
    <row r="12" spans="1:1">
      <c r="A12" s="5"/>
    </row>
    <row r="13" ht="18" customHeight="1" spans="1:6">
      <c r="A13" s="1" t="s">
        <v>11</v>
      </c>
      <c r="B13" s="1"/>
      <c r="C13" s="1"/>
      <c r="D13" s="1"/>
      <c r="E13" s="1"/>
      <c r="F13" s="1"/>
    </row>
    <row r="14" spans="1:6">
      <c r="A14" s="2" t="s">
        <v>12</v>
      </c>
      <c r="B14" s="2" t="s">
        <v>2</v>
      </c>
      <c r="C14" s="2" t="s">
        <v>3</v>
      </c>
      <c r="D14" s="2" t="s">
        <v>4</v>
      </c>
      <c r="E14" s="2" t="s">
        <v>5</v>
      </c>
      <c r="F14" s="2" t="s">
        <v>6</v>
      </c>
    </row>
    <row r="15" spans="1:6">
      <c r="A15" s="2"/>
      <c r="B15" s="10" t="s">
        <v>7</v>
      </c>
      <c r="C15" s="10" t="s">
        <v>8</v>
      </c>
      <c r="D15" s="10" t="s">
        <v>9</v>
      </c>
      <c r="E15" s="10" t="s">
        <v>10</v>
      </c>
      <c r="F15" s="2"/>
    </row>
    <row r="16" spans="1:6">
      <c r="A16" s="6">
        <v>0.1</v>
      </c>
      <c r="B16" s="4">
        <v>0.57</v>
      </c>
      <c r="C16" s="4">
        <v>-0.26</v>
      </c>
      <c r="D16" s="4">
        <v>0.28</v>
      </c>
      <c r="E16" s="4">
        <v>-0.55</v>
      </c>
      <c r="F16" s="4">
        <f>(B16-C16+D16-E16)/4</f>
        <v>0.415</v>
      </c>
    </row>
    <row r="17" spans="1:6">
      <c r="A17" s="6">
        <v>0.2</v>
      </c>
      <c r="B17" s="4">
        <v>0.99</v>
      </c>
      <c r="C17" s="4">
        <v>-0.68</v>
      </c>
      <c r="D17" s="4">
        <v>0.7</v>
      </c>
      <c r="E17" s="4">
        <v>-0.97</v>
      </c>
      <c r="F17" s="4">
        <f t="shared" ref="F17:F23" si="1">(B17-C17+D17-E17)/4</f>
        <v>0.835</v>
      </c>
    </row>
    <row r="18" spans="1:6">
      <c r="A18" s="6">
        <v>0.3</v>
      </c>
      <c r="B18" s="4">
        <v>1.4</v>
      </c>
      <c r="C18" s="4">
        <v>-1.09</v>
      </c>
      <c r="D18" s="4">
        <v>1.12</v>
      </c>
      <c r="E18" s="4">
        <v>-1.38</v>
      </c>
      <c r="F18" s="4">
        <f t="shared" si="1"/>
        <v>1.2475</v>
      </c>
    </row>
    <row r="19" spans="1:6">
      <c r="A19" s="6">
        <v>0.4</v>
      </c>
      <c r="B19" s="4">
        <v>1.82</v>
      </c>
      <c r="C19" s="4">
        <v>-1.51</v>
      </c>
      <c r="D19" s="4">
        <v>1.53</v>
      </c>
      <c r="E19" s="4">
        <v>-1.8</v>
      </c>
      <c r="F19" s="4">
        <f t="shared" si="1"/>
        <v>1.665</v>
      </c>
    </row>
    <row r="20" spans="1:6">
      <c r="A20" s="6">
        <v>0.5</v>
      </c>
      <c r="B20" s="4">
        <v>2.24</v>
      </c>
      <c r="C20" s="4">
        <v>-1.93</v>
      </c>
      <c r="D20" s="4">
        <v>1.95</v>
      </c>
      <c r="E20" s="4">
        <v>-2.21</v>
      </c>
      <c r="F20" s="4">
        <f t="shared" si="1"/>
        <v>2.0825</v>
      </c>
    </row>
    <row r="21" spans="1:6">
      <c r="A21" s="6">
        <v>0.6</v>
      </c>
      <c r="B21" s="4">
        <v>2.66</v>
      </c>
      <c r="C21" s="4">
        <v>-2.34</v>
      </c>
      <c r="D21" s="4">
        <v>2.36</v>
      </c>
      <c r="E21" s="4">
        <v>-2.63</v>
      </c>
      <c r="F21" s="4">
        <f t="shared" si="1"/>
        <v>2.4975</v>
      </c>
    </row>
    <row r="22" spans="1:6">
      <c r="A22" s="6">
        <v>0.7</v>
      </c>
      <c r="B22" s="4">
        <v>3.07</v>
      </c>
      <c r="C22" s="4">
        <v>-2.76</v>
      </c>
      <c r="D22" s="4">
        <v>2.78</v>
      </c>
      <c r="E22" s="4">
        <v>-3.05</v>
      </c>
      <c r="F22" s="4">
        <f t="shared" si="1"/>
        <v>2.915</v>
      </c>
    </row>
    <row r="23" spans="1:6">
      <c r="A23" s="6">
        <v>0.8</v>
      </c>
      <c r="B23" s="4">
        <v>3.49</v>
      </c>
      <c r="C23" s="4">
        <v>-3.18</v>
      </c>
      <c r="D23" s="4">
        <v>3.2</v>
      </c>
      <c r="E23" s="4">
        <v>-3.47</v>
      </c>
      <c r="F23" s="4">
        <f t="shared" si="1"/>
        <v>3.335</v>
      </c>
    </row>
    <row r="25" ht="18" customHeight="1" spans="1:7">
      <c r="A25" s="1" t="s">
        <v>13</v>
      </c>
      <c r="B25" s="1"/>
      <c r="C25" s="1"/>
      <c r="D25" s="1"/>
      <c r="E25" s="1"/>
      <c r="F25" s="1"/>
      <c r="G25" s="1"/>
    </row>
    <row r="26" spans="1:7">
      <c r="A26" s="2" t="s">
        <v>14</v>
      </c>
      <c r="B26" s="2" t="s">
        <v>2</v>
      </c>
      <c r="C26" s="2" t="s">
        <v>3</v>
      </c>
      <c r="D26" s="2" t="s">
        <v>4</v>
      </c>
      <c r="E26" s="2" t="s">
        <v>5</v>
      </c>
      <c r="F26" s="2" t="s">
        <v>6</v>
      </c>
      <c r="G26" s="2" t="s">
        <v>15</v>
      </c>
    </row>
    <row r="27" spans="1:7">
      <c r="A27" s="2"/>
      <c r="B27" s="10" t="s">
        <v>7</v>
      </c>
      <c r="C27" s="10" t="s">
        <v>8</v>
      </c>
      <c r="D27" s="10" t="s">
        <v>9</v>
      </c>
      <c r="E27" s="10" t="s">
        <v>10</v>
      </c>
      <c r="F27" s="2"/>
      <c r="G27" s="2"/>
    </row>
    <row r="28" spans="1:7">
      <c r="A28" s="4">
        <v>-14</v>
      </c>
      <c r="B28" s="7">
        <v>1.12</v>
      </c>
      <c r="C28" s="7">
        <v>-0.8</v>
      </c>
      <c r="D28" s="7">
        <v>0.82</v>
      </c>
      <c r="E28" s="7">
        <v>-1.1</v>
      </c>
      <c r="F28" s="4">
        <f t="shared" ref="F28:F33" si="2">(B28-C29+D28-E28)/4</f>
        <v>1.06</v>
      </c>
      <c r="G28" s="9">
        <f>F28/(170*0.002)</f>
        <v>3.11764705882353</v>
      </c>
    </row>
    <row r="29" spans="1:7">
      <c r="A29" s="4">
        <v>-13.5</v>
      </c>
      <c r="B29" s="7">
        <v>1.52</v>
      </c>
      <c r="C29" s="7">
        <v>-1.2</v>
      </c>
      <c r="D29" s="7">
        <v>1.23</v>
      </c>
      <c r="E29" s="7">
        <v>-1.5</v>
      </c>
      <c r="F29" s="4">
        <f t="shared" si="2"/>
        <v>1.435</v>
      </c>
      <c r="G29" s="9">
        <f t="shared" ref="G29:G44" si="3">F29/(170*0.002)</f>
        <v>4.22058823529412</v>
      </c>
    </row>
    <row r="30" spans="1:7">
      <c r="A30" s="4">
        <v>-13</v>
      </c>
      <c r="B30" s="7">
        <v>1.81</v>
      </c>
      <c r="C30" s="7">
        <v>-1.49</v>
      </c>
      <c r="D30" s="7">
        <v>1.51</v>
      </c>
      <c r="E30" s="7">
        <v>-1.78</v>
      </c>
      <c r="F30" s="4">
        <f t="shared" si="2"/>
        <v>1.685</v>
      </c>
      <c r="G30" s="9">
        <f t="shared" si="3"/>
        <v>4.95588235294118</v>
      </c>
    </row>
    <row r="31" spans="1:7">
      <c r="A31" s="4">
        <v>-12.5</v>
      </c>
      <c r="B31" s="7">
        <v>2.08</v>
      </c>
      <c r="C31" s="7">
        <v>-1.64</v>
      </c>
      <c r="D31" s="7">
        <v>1.61</v>
      </c>
      <c r="E31" s="7">
        <v>-2.1</v>
      </c>
      <c r="F31" s="4">
        <f t="shared" si="2"/>
        <v>1.8775</v>
      </c>
      <c r="G31" s="9">
        <f t="shared" si="3"/>
        <v>5.52205882352941</v>
      </c>
    </row>
    <row r="32" spans="1:7">
      <c r="A32" s="4">
        <v>-12</v>
      </c>
      <c r="B32" s="7">
        <v>2.15</v>
      </c>
      <c r="C32" s="7">
        <v>-1.72</v>
      </c>
      <c r="D32" s="7">
        <v>1.69</v>
      </c>
      <c r="E32" s="7">
        <v>-2.18</v>
      </c>
      <c r="F32" s="4">
        <f t="shared" si="2"/>
        <v>1.9575</v>
      </c>
      <c r="G32" s="9">
        <f t="shared" si="3"/>
        <v>5.75735294117647</v>
      </c>
    </row>
    <row r="33" spans="1:7">
      <c r="A33" s="4">
        <v>-9</v>
      </c>
      <c r="B33" s="7">
        <v>2.21</v>
      </c>
      <c r="C33" s="7">
        <v>-1.81</v>
      </c>
      <c r="D33" s="7">
        <v>1.91</v>
      </c>
      <c r="E33" s="7">
        <v>-2.18</v>
      </c>
      <c r="F33" s="4">
        <f t="shared" si="2"/>
        <v>2.0525</v>
      </c>
      <c r="G33" s="9">
        <f t="shared" si="3"/>
        <v>6.03676470588235</v>
      </c>
    </row>
    <row r="34" spans="1:7">
      <c r="A34" s="4">
        <v>-6</v>
      </c>
      <c r="B34" s="7">
        <v>2.23</v>
      </c>
      <c r="C34" s="7">
        <v>-1.91</v>
      </c>
      <c r="D34" s="7">
        <v>1.94</v>
      </c>
      <c r="E34" s="7">
        <v>-2.21</v>
      </c>
      <c r="F34" s="4">
        <f>(B34-C34+D34-E34)/4</f>
        <v>2.0725</v>
      </c>
      <c r="G34" s="9">
        <f t="shared" si="3"/>
        <v>6.09558823529412</v>
      </c>
    </row>
    <row r="35" spans="1:7">
      <c r="A35" s="4">
        <v>-3</v>
      </c>
      <c r="B35" s="7">
        <v>2.24</v>
      </c>
      <c r="C35" s="7">
        <v>-1.92</v>
      </c>
      <c r="D35" s="7">
        <v>1.95</v>
      </c>
      <c r="E35" s="7">
        <v>-2.21</v>
      </c>
      <c r="F35" s="4">
        <f t="shared" ref="F35:F40" si="4">(B35-C35+D35-E35)/4</f>
        <v>2.08</v>
      </c>
      <c r="G35" s="9">
        <f t="shared" si="3"/>
        <v>6.11764705882353</v>
      </c>
    </row>
    <row r="36" spans="1:7">
      <c r="A36" s="8">
        <v>0</v>
      </c>
      <c r="B36" s="7">
        <v>2.24</v>
      </c>
      <c r="C36" s="7">
        <v>-1.92</v>
      </c>
      <c r="D36" s="7">
        <v>1.94</v>
      </c>
      <c r="E36" s="7">
        <v>-2.22</v>
      </c>
      <c r="F36" s="4">
        <f t="shared" si="4"/>
        <v>2.08</v>
      </c>
      <c r="G36" s="9">
        <f t="shared" si="3"/>
        <v>6.11764705882353</v>
      </c>
    </row>
    <row r="37" spans="1:7">
      <c r="A37" s="4">
        <v>3</v>
      </c>
      <c r="B37" s="7">
        <v>2.24</v>
      </c>
      <c r="C37" s="7">
        <v>-1.92</v>
      </c>
      <c r="D37" s="7">
        <v>1.94</v>
      </c>
      <c r="E37" s="7">
        <v>-2.22</v>
      </c>
      <c r="F37" s="4">
        <f t="shared" si="4"/>
        <v>2.08</v>
      </c>
      <c r="G37" s="9">
        <f t="shared" si="3"/>
        <v>6.11764705882353</v>
      </c>
    </row>
    <row r="38" spans="1:7">
      <c r="A38" s="4">
        <v>6</v>
      </c>
      <c r="B38" s="7">
        <v>2.24</v>
      </c>
      <c r="C38" s="7">
        <v>-1.92</v>
      </c>
      <c r="D38" s="7">
        <v>1.94</v>
      </c>
      <c r="E38" s="7">
        <v>-2.22</v>
      </c>
      <c r="F38" s="4">
        <f t="shared" si="4"/>
        <v>2.08</v>
      </c>
      <c r="G38" s="9">
        <f t="shared" si="3"/>
        <v>6.11764705882353</v>
      </c>
    </row>
    <row r="39" spans="1:7">
      <c r="A39" s="4">
        <v>9</v>
      </c>
      <c r="B39" s="7">
        <v>2.22</v>
      </c>
      <c r="C39" s="7">
        <v>-1.89</v>
      </c>
      <c r="D39" s="7">
        <v>1.92</v>
      </c>
      <c r="E39" s="7">
        <v>-2.19</v>
      </c>
      <c r="F39" s="4">
        <f t="shared" si="4"/>
        <v>2.055</v>
      </c>
      <c r="G39" s="9">
        <f t="shared" si="3"/>
        <v>6.04411764705882</v>
      </c>
    </row>
    <row r="40" spans="1:7">
      <c r="A40" s="4">
        <v>12</v>
      </c>
      <c r="B40" s="7">
        <v>2.09</v>
      </c>
      <c r="C40" s="7">
        <v>-1.76</v>
      </c>
      <c r="D40" s="7">
        <v>1.79</v>
      </c>
      <c r="E40" s="7">
        <v>-2.06</v>
      </c>
      <c r="F40" s="4">
        <f t="shared" si="4"/>
        <v>1.925</v>
      </c>
      <c r="G40" s="9">
        <f t="shared" si="3"/>
        <v>5.66176470588235</v>
      </c>
    </row>
    <row r="41" spans="1:7">
      <c r="A41" s="4">
        <v>12.5</v>
      </c>
      <c r="B41" s="7">
        <v>1.99</v>
      </c>
      <c r="C41" s="7">
        <v>-1.66</v>
      </c>
      <c r="D41" s="7">
        <v>1.69</v>
      </c>
      <c r="E41" s="7">
        <v>-1.96</v>
      </c>
      <c r="F41" s="4">
        <f t="shared" ref="F41:F44" si="5">(B41-C41+D41-E41)/4</f>
        <v>1.825</v>
      </c>
      <c r="G41" s="9">
        <f t="shared" si="3"/>
        <v>5.36764705882353</v>
      </c>
    </row>
    <row r="42" spans="1:7">
      <c r="A42" s="4">
        <v>13</v>
      </c>
      <c r="B42" s="7">
        <v>1.84</v>
      </c>
      <c r="C42" s="7">
        <v>-1.51</v>
      </c>
      <c r="D42" s="7">
        <v>1.54</v>
      </c>
      <c r="E42" s="7">
        <v>-1.81</v>
      </c>
      <c r="F42" s="4">
        <f t="shared" si="5"/>
        <v>1.675</v>
      </c>
      <c r="G42" s="9">
        <f t="shared" si="3"/>
        <v>4.92647058823529</v>
      </c>
    </row>
    <row r="43" spans="1:7">
      <c r="A43" s="4">
        <v>13.5</v>
      </c>
      <c r="B43" s="7">
        <v>1.56</v>
      </c>
      <c r="C43" s="7">
        <v>-1.23</v>
      </c>
      <c r="D43" s="7">
        <v>1.26</v>
      </c>
      <c r="E43" s="7">
        <v>-1.52</v>
      </c>
      <c r="F43" s="4">
        <f t="shared" si="5"/>
        <v>1.3925</v>
      </c>
      <c r="G43" s="9">
        <f t="shared" si="3"/>
        <v>4.09558823529412</v>
      </c>
    </row>
    <row r="44" spans="1:7">
      <c r="A44" s="4">
        <v>14</v>
      </c>
      <c r="B44" s="7">
        <v>1.16</v>
      </c>
      <c r="C44" s="7">
        <v>-0.83</v>
      </c>
      <c r="D44" s="7">
        <v>0.86</v>
      </c>
      <c r="E44" s="7">
        <v>-1.13</v>
      </c>
      <c r="F44" s="4">
        <f t="shared" si="5"/>
        <v>0.995</v>
      </c>
      <c r="G44" s="9">
        <f t="shared" si="3"/>
        <v>2.92647058823529</v>
      </c>
    </row>
    <row r="46" spans="2:2">
      <c r="B46" s="7">
        <v>-1</v>
      </c>
    </row>
  </sheetData>
  <mergeCells count="10">
    <mergeCell ref="A1:F1"/>
    <mergeCell ref="A13:F13"/>
    <mergeCell ref="A25:G25"/>
    <mergeCell ref="A2:A3"/>
    <mergeCell ref="A14:A15"/>
    <mergeCell ref="A26:A27"/>
    <mergeCell ref="F2:F3"/>
    <mergeCell ref="F14:F15"/>
    <mergeCell ref="F26:F27"/>
    <mergeCell ref="G26:G27"/>
  </mergeCells>
  <pageMargins left="0.7" right="0.7" top="0.75" bottom="0.75" header="0.3" footer="0.3"/>
  <pageSetup paperSize="9" scale="87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21" sqref="G21"/>
    </sheetView>
  </sheetViews>
  <sheetFormatPr defaultColWidth="9" defaultRowHeight="13.8"/>
  <sheetData/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8"/>
  <sheetData/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N21" sqref="N21"/>
    </sheetView>
  </sheetViews>
  <sheetFormatPr defaultColWidth="9" defaultRowHeight="13.8"/>
  <sheetData/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Sheet3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527</dc:creator>
  <cp:lastModifiedBy>nan0in27</cp:lastModifiedBy>
  <dcterms:created xsi:type="dcterms:W3CDTF">2019-04-24T21:15:00Z</dcterms:created>
  <cp:lastPrinted>2019-05-05T09:12:00Z</cp:lastPrinted>
  <dcterms:modified xsi:type="dcterms:W3CDTF">2025-11-17T18:10:31Z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26A28DF774A33F7C95F41A69667390DB_42</vt:lpwstr>
  </property>
  <property fmtid="{D5CDD505-2E9C-101B-9397-08002B2CF9AE}" pid="3" name="KSOProductBuildVer">
    <vt:lpwstr>2052-12.1.2.22571</vt:lpwstr>
  </property>
</Properties>
</file>