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360MoveData\Users\18380\Desktop\"/>
    </mc:Choice>
  </mc:AlternateContent>
  <xr:revisionPtr revIDLastSave="0" documentId="13_ncr:1_{1149F44D-BBCF-4DAD-B83B-D80F770BDFE1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</sheets>
  <definedNames>
    <definedName name="_xlnm.Print_Area" localSheetId="0">Sheet1!$A$1:$L$8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B8" i="1"/>
  <c r="A8" i="1"/>
  <c r="B6" i="1"/>
  <c r="A6" i="1"/>
  <c r="D3" i="1"/>
  <c r="E3" i="1"/>
  <c r="F3" i="1"/>
  <c r="G3" i="1"/>
  <c r="H3" i="1"/>
  <c r="I3" i="1"/>
  <c r="J3" i="1"/>
  <c r="K3" i="1"/>
  <c r="L3" i="1"/>
  <c r="C3" i="1"/>
</calcChain>
</file>

<file path=xl/sharedStrings.xml><?xml version="1.0" encoding="utf-8"?>
<sst xmlns="http://schemas.openxmlformats.org/spreadsheetml/2006/main" count="7" uniqueCount="7">
  <si>
    <t>△d</t>
    <phoneticPr fontId="1" type="noConversion"/>
  </si>
  <si>
    <t>d</t>
    <phoneticPr fontId="1" type="noConversion"/>
  </si>
  <si>
    <r>
      <t>d</t>
    </r>
    <r>
      <rPr>
        <vertAlign val="subscript"/>
        <sz val="11"/>
        <color theme="1"/>
        <rFont val="等线"/>
        <family val="3"/>
        <charset val="134"/>
        <scheme val="minor"/>
      </rPr>
      <t>平均</t>
    </r>
    <phoneticPr fontId="1" type="noConversion"/>
  </si>
  <si>
    <t>λ</t>
    <phoneticPr fontId="1" type="noConversion"/>
  </si>
  <si>
    <r>
      <t>d‘</t>
    </r>
    <r>
      <rPr>
        <vertAlign val="subscript"/>
        <sz val="11"/>
        <color theme="1"/>
        <rFont val="等线"/>
        <family val="3"/>
        <charset val="134"/>
        <scheme val="minor"/>
      </rPr>
      <t>平均</t>
    </r>
    <phoneticPr fontId="1" type="noConversion"/>
  </si>
  <si>
    <t>λ’</t>
    <phoneticPr fontId="1" type="noConversion"/>
  </si>
  <si>
    <t>UA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</si>
</sst>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sqref="A1:L8"/>
    </sheetView>
  </sheetViews>
  <sheetFormatPr defaultRowHeight="14" x14ac:dyDescent="0.3"/>
  <cols>
    <col min="2" max="2" width="11.4140625" bestFit="1" customWidth="1"/>
    <col min="4" max="4" width="12.5" bestFit="1" customWidth="1"/>
  </cols>
  <sheetData>
    <row r="1" spans="1:12" x14ac:dyDescent="0.3">
      <c r="B1">
        <v>0</v>
      </c>
      <c r="C1">
        <v>50</v>
      </c>
      <c r="D1">
        <v>100</v>
      </c>
      <c r="E1">
        <v>150</v>
      </c>
      <c r="F1">
        <v>200</v>
      </c>
      <c r="G1">
        <v>250</v>
      </c>
      <c r="H1">
        <v>300</v>
      </c>
      <c r="I1">
        <v>350</v>
      </c>
      <c r="J1">
        <v>400</v>
      </c>
      <c r="K1">
        <v>450</v>
      </c>
      <c r="L1">
        <v>500</v>
      </c>
    </row>
    <row r="2" spans="1:12" x14ac:dyDescent="0.3">
      <c r="A2" t="s">
        <v>1</v>
      </c>
      <c r="B2">
        <v>62.045183000000002</v>
      </c>
      <c r="C2">
        <v>62.047421</v>
      </c>
      <c r="D2">
        <v>62.048935</v>
      </c>
      <c r="E2">
        <v>62.050510000000003</v>
      </c>
      <c r="F2">
        <v>62.05227</v>
      </c>
      <c r="G2">
        <v>62.053849999999997</v>
      </c>
      <c r="H2">
        <v>62.05547</v>
      </c>
      <c r="I2">
        <v>62.057070000000003</v>
      </c>
      <c r="J2">
        <v>62.058650999999998</v>
      </c>
      <c r="K2">
        <v>62.060400000000001</v>
      </c>
      <c r="L2">
        <v>62.062015000000002</v>
      </c>
    </row>
    <row r="3" spans="1:12" x14ac:dyDescent="0.3">
      <c r="A3" t="s">
        <v>0</v>
      </c>
      <c r="C3">
        <f>C2-B2</f>
        <v>2.2379999999984079E-3</v>
      </c>
      <c r="D3">
        <f t="shared" ref="D3:L3" si="0">D2-C2</f>
        <v>1.5140000000002374E-3</v>
      </c>
      <c r="E3">
        <f t="shared" si="0"/>
        <v>1.5750000000025466E-3</v>
      </c>
      <c r="F3">
        <f t="shared" si="0"/>
        <v>1.7599999999973193E-3</v>
      </c>
      <c r="G3">
        <f t="shared" si="0"/>
        <v>1.5799999999970282E-3</v>
      </c>
      <c r="H3">
        <f t="shared" si="0"/>
        <v>1.6200000000026193E-3</v>
      </c>
      <c r="I3">
        <f t="shared" si="0"/>
        <v>1.6000000000033765E-3</v>
      </c>
      <c r="J3">
        <f t="shared" si="0"/>
        <v>1.5809999999945035E-3</v>
      </c>
      <c r="K3">
        <f t="shared" si="0"/>
        <v>1.7490000000037753E-3</v>
      </c>
      <c r="L3">
        <f t="shared" si="0"/>
        <v>1.6150000000010323E-3</v>
      </c>
    </row>
    <row r="5" spans="1:12" ht="16" x14ac:dyDescent="0.4">
      <c r="A5" t="s">
        <v>2</v>
      </c>
      <c r="B5" t="s">
        <v>3</v>
      </c>
      <c r="D5" t="s">
        <v>6</v>
      </c>
    </row>
    <row r="6" spans="1:12" x14ac:dyDescent="0.3">
      <c r="A6">
        <f>AVERAGE(C3:L3)</f>
        <v>1.6832000000000847E-3</v>
      </c>
      <c r="B6">
        <f>A6/25</f>
        <v>6.7328000000003391E-5</v>
      </c>
      <c r="D6">
        <f>_xlfn.STDEV.P(C3:L3)/SQRT(COUNT(C3:L3))</f>
        <v>6.2851380255201254E-5</v>
      </c>
    </row>
    <row r="7" spans="1:12" ht="16" x14ac:dyDescent="0.4">
      <c r="A7" t="s">
        <v>4</v>
      </c>
      <c r="B7" t="s">
        <v>5</v>
      </c>
    </row>
    <row r="8" spans="1:12" x14ac:dyDescent="0.3">
      <c r="A8">
        <f>AVERAGE(D3,E3,G3,H3,I3,J3,L3)</f>
        <v>1.5835714285716204E-3</v>
      </c>
      <c r="B8">
        <f>A8/25</f>
        <v>6.3342857142864814E-5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moment</dc:creator>
  <cp:lastModifiedBy>chen moment</cp:lastModifiedBy>
  <cp:lastPrinted>2025-06-10T13:24:17Z</cp:lastPrinted>
  <dcterms:created xsi:type="dcterms:W3CDTF">2015-06-05T18:19:34Z</dcterms:created>
  <dcterms:modified xsi:type="dcterms:W3CDTF">2025-06-10T13:29:33Z</dcterms:modified>
</cp:coreProperties>
</file>